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ua" sheetId="1" r:id="rId5"/>
    <sheet state="visible" name="agregada" sheetId="2" r:id="rId6"/>
    <sheet state="visible" name="grafico" sheetId="3" r:id="rId7"/>
  </sheets>
  <definedNames/>
  <calcPr/>
</workbook>
</file>

<file path=xl/sharedStrings.xml><?xml version="1.0" encoding="utf-8"?>
<sst xmlns="http://schemas.openxmlformats.org/spreadsheetml/2006/main" count="35" uniqueCount="31">
  <si>
    <t>nome_ator</t>
  </si>
  <si>
    <t>nacionalidade</t>
  </si>
  <si>
    <t>grupo_geral_nacionalidade</t>
  </si>
  <si>
    <t>grupo_especifico_nacionalidade</t>
  </si>
  <si>
    <t>filme_indicado</t>
  </si>
  <si>
    <t>ano_filme</t>
  </si>
  <si>
    <t>numero_cerimonia</t>
  </si>
  <si>
    <t>ano_cerimonia</t>
  </si>
  <si>
    <t>url_ator</t>
  </si>
  <si>
    <t>url_filme</t>
  </si>
  <si>
    <t>url_cerimonia</t>
  </si>
  <si>
    <t>Adrien Brody</t>
  </si>
  <si>
    <t>EUA</t>
  </si>
  <si>
    <t>The Brutalist</t>
  </si>
  <si>
    <t>https://en.wikipedia.org/wiki/Adrien_Brody</t>
  </si>
  <si>
    <t>https://en.wikipedia.org/wiki/The_Brutalist</t>
  </si>
  <si>
    <t>https://en.wikipedia.org/wiki/97th_Academy_Awards</t>
  </si>
  <si>
    <t>Cillian Murphy</t>
  </si>
  <si>
    <t>Irlanda</t>
  </si>
  <si>
    <t>Europeu</t>
  </si>
  <si>
    <t>Oppenheimer</t>
  </si>
  <si>
    <t>https://en.wikipedia.org/wiki/Cillian_Murphy</t>
  </si>
  <si>
    <t>https://en.wikipedia.org/wiki/Oppenheimer_(film)</t>
  </si>
  <si>
    <t>https://en.wikipedia.org/wiki/96th_Academy_Awards</t>
  </si>
  <si>
    <t>Brendan Fraser</t>
  </si>
  <si>
    <t>The Whale</t>
  </si>
  <si>
    <t>https://en.wikipedia.org/wiki/Brendan_Fraser</t>
  </si>
  <si>
    <t>https://en.wikipedia.org/wiki/The_Whale_(2022_film)</t>
  </si>
  <si>
    <t>https://en.wikipedia.org/wiki/95th_Academy_Awards</t>
  </si>
  <si>
    <t>grupo_nacionalidade</t>
  </si>
  <si>
    <t>vencedores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</si>
</sst>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Nacionalidade dos Vencedores do Oscar de Melhor Ator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agregada!$B$2</c:f>
            </c:strRef>
          </c:tx>
          <c:dPt>
            <c:idx val="0"/>
            <c:spPr>
              <a:solidFill>
                <a:srgbClr val="F1C232"/>
              </a:solidFill>
            </c:spPr>
          </c:dPt>
          <c:dPt>
            <c:idx val="1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agregada!$A$3:$A$4</c:f>
            </c:strRef>
          </c:cat>
          <c:val>
            <c:numRef>
              <c:f>agregada!$B$3:$B$4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876300</xdr:colOff>
      <xdr:row>0</xdr:row>
      <xdr:rowOff>9525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ikipedia.com/johnny_rogers" TargetMode="External"/><Relationship Id="rId2" Type="http://schemas.openxmlformats.org/officeDocument/2006/relationships/hyperlink" Target="http://wikipedia.com/american_movie_1" TargetMode="External"/><Relationship Id="rId3" Type="http://schemas.openxmlformats.org/officeDocument/2006/relationships/hyperlink" Target="http://wikipedia.com/academy_awards_2025" TargetMode="External"/><Relationship Id="rId4" Type="http://schemas.openxmlformats.org/officeDocument/2006/relationships/hyperlink" Target="http://wikipedia.com/jack_bauer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s://en.wikipedia.org/wiki/95th_Academy_Awards" TargetMode="External"/><Relationship Id="rId5" Type="http://schemas.openxmlformats.org/officeDocument/2006/relationships/hyperlink" Target="http://wikipedia.com/the_second_american_movie" TargetMode="External"/><Relationship Id="rId6" Type="http://schemas.openxmlformats.org/officeDocument/2006/relationships/hyperlink" Target="http://wikipedia.com/academy_awards_2024" TargetMode="External"/><Relationship Id="rId7" Type="http://schemas.openxmlformats.org/officeDocument/2006/relationships/hyperlink" Target="https://en.wikipedia.org/wiki/Brendan_Fraser" TargetMode="External"/><Relationship Id="rId8" Type="http://schemas.openxmlformats.org/officeDocument/2006/relationships/hyperlink" Target="https://en.wikipedia.org/wiki/The_Whale_(2022_film)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5" max="5" width="12.63"/>
    <col customWidth="1" min="9" max="9" width="33.75"/>
    <col customWidth="1" min="10" max="10" width="39.5"/>
    <col customWidth="1" min="11" max="11" width="3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11</v>
      </c>
      <c r="B2" s="3" t="s">
        <v>12</v>
      </c>
      <c r="C2" s="3" t="str">
        <f t="shared" ref="C2:C4" si="1">IF(B2="EUA", "EUA","Estrangeiro")</f>
        <v>EUA</v>
      </c>
      <c r="D2" s="3" t="s">
        <v>12</v>
      </c>
      <c r="E2" s="3" t="s">
        <v>13</v>
      </c>
      <c r="F2" s="3">
        <v>2024.0</v>
      </c>
      <c r="G2" s="3">
        <v>97.0</v>
      </c>
      <c r="H2" s="3">
        <v>2025.0</v>
      </c>
      <c r="I2" s="4" t="s">
        <v>14</v>
      </c>
      <c r="J2" s="4" t="s">
        <v>15</v>
      </c>
      <c r="K2" s="4" t="s">
        <v>16</v>
      </c>
    </row>
    <row r="3">
      <c r="A3" s="3" t="s">
        <v>17</v>
      </c>
      <c r="B3" s="3" t="s">
        <v>18</v>
      </c>
      <c r="C3" s="3" t="str">
        <f t="shared" si="1"/>
        <v>Estrangeiro</v>
      </c>
      <c r="D3" s="3" t="s">
        <v>19</v>
      </c>
      <c r="E3" s="3" t="s">
        <v>20</v>
      </c>
      <c r="F3" s="3">
        <v>2023.0</v>
      </c>
      <c r="G3" s="3">
        <v>96.0</v>
      </c>
      <c r="H3" s="3">
        <v>2024.0</v>
      </c>
      <c r="I3" s="4" t="s">
        <v>21</v>
      </c>
      <c r="J3" s="4" t="s">
        <v>22</v>
      </c>
      <c r="K3" s="4" t="s">
        <v>23</v>
      </c>
    </row>
    <row r="4">
      <c r="A4" s="3" t="s">
        <v>24</v>
      </c>
      <c r="B4" s="3" t="s">
        <v>12</v>
      </c>
      <c r="C4" s="3" t="str">
        <f t="shared" si="1"/>
        <v>EUA</v>
      </c>
      <c r="D4" s="3" t="s">
        <v>12</v>
      </c>
      <c r="E4" s="3" t="s">
        <v>25</v>
      </c>
      <c r="F4" s="3">
        <v>2022.0</v>
      </c>
      <c r="G4" s="3">
        <v>95.0</v>
      </c>
      <c r="H4" s="3">
        <v>2023.0</v>
      </c>
      <c r="I4" s="5" t="s">
        <v>26</v>
      </c>
      <c r="J4" s="5" t="s">
        <v>27</v>
      </c>
      <c r="K4" s="4" t="s">
        <v>28</v>
      </c>
    </row>
  </sheetData>
  <hyperlinks>
    <hyperlink r:id="rId1" ref="I2"/>
    <hyperlink r:id="rId2" ref="J2"/>
    <hyperlink r:id="rId3" ref="K2"/>
    <hyperlink r:id="rId4" ref="I3"/>
    <hyperlink r:id="rId5" ref="J3"/>
    <hyperlink r:id="rId6" ref="K3"/>
    <hyperlink r:id="rId7" ref="I4"/>
    <hyperlink r:id="rId8" ref="J4"/>
    <hyperlink r:id="rId9" ref="K4"/>
  </hyperlinks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29</v>
      </c>
      <c r="B1" s="1" t="s">
        <v>30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tr">
        <f t="array" ref="A2:A3">UNIQUE(crua!$B$2:$B$4)</f>
        <v>EUA</v>
      </c>
      <c r="B2" s="6">
        <f>COUNTIF(crua!$B$1:$B$4, A2)</f>
        <v>2</v>
      </c>
    </row>
    <row r="3">
      <c r="A3" s="6" t="s">
        <v>18</v>
      </c>
      <c r="B3" s="6">
        <f>COUNTIF(crua!$B$1:$B$4, A3)</f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